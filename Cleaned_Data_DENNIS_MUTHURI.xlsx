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4ace\"/>
    </mc:Choice>
  </mc:AlternateContent>
  <xr:revisionPtr revIDLastSave="0" documentId="8_{E1EA8FD5-F511-4269-8AB3-4050F1A0E4D1}" xr6:coauthVersionLast="36" xr6:coauthVersionMax="36" xr10:uidLastSave="{00000000-0000-0000-0000-000000000000}"/>
  <bookViews>
    <workbookView xWindow="0" yWindow="0" windowWidth="16410" windowHeight="8130"/>
  </bookViews>
  <sheets>
    <sheet name="Cleaned_Data_DENNIS_MUTHURI" sheetId="2" r:id="rId1"/>
    <sheet name="Method_two_data_cleaning" sheetId="1" r:id="rId2"/>
  </sheets>
  <calcPr calcId="0"/>
  <fileRecoveryPr repairLoad="1"/>
</workbook>
</file>

<file path=xl/calcChain.xml><?xml version="1.0" encoding="utf-8"?>
<calcChain xmlns="http://schemas.openxmlformats.org/spreadsheetml/2006/main">
  <c r="K12" i="2" l="1"/>
  <c r="K18" i="2"/>
  <c r="I18" i="2"/>
  <c r="F18" i="2"/>
  <c r="B18" i="2"/>
  <c r="K19" i="2"/>
  <c r="I19" i="2"/>
  <c r="F19" i="2"/>
  <c r="B19" i="2"/>
  <c r="D19" i="2" s="1"/>
  <c r="K17" i="2"/>
  <c r="I17" i="2"/>
  <c r="F17" i="2"/>
  <c r="B17" i="2"/>
  <c r="D17" i="2" s="1"/>
  <c r="K15" i="2"/>
  <c r="I15" i="2"/>
  <c r="F15" i="2"/>
  <c r="B15" i="2"/>
  <c r="D15" i="2" s="1"/>
  <c r="K8" i="2"/>
  <c r="I8" i="2"/>
  <c r="F8" i="2"/>
  <c r="B8" i="2"/>
  <c r="K16" i="2"/>
  <c r="I16" i="2"/>
  <c r="F16" i="2"/>
  <c r="B16" i="2"/>
  <c r="D16" i="2" s="1"/>
  <c r="K10" i="2"/>
  <c r="I10" i="2"/>
  <c r="F10" i="2"/>
  <c r="B10" i="2"/>
  <c r="K20" i="2"/>
  <c r="I20" i="2"/>
  <c r="F20" i="2"/>
  <c r="B20" i="2"/>
  <c r="K3" i="2"/>
  <c r="I3" i="2"/>
  <c r="F3" i="2"/>
  <c r="B3" i="2"/>
  <c r="K5" i="2"/>
  <c r="I5" i="2"/>
  <c r="F5" i="2"/>
  <c r="B5" i="2"/>
  <c r="K2" i="2"/>
  <c r="I2" i="2"/>
  <c r="F2" i="2"/>
  <c r="B2" i="2"/>
  <c r="C2" i="2" s="1"/>
  <c r="K6" i="2"/>
  <c r="I6" i="2"/>
  <c r="F6" i="2"/>
  <c r="B6" i="2"/>
  <c r="K11" i="2"/>
  <c r="I11" i="2"/>
  <c r="F11" i="2"/>
  <c r="B11" i="2"/>
  <c r="C11" i="2" s="1"/>
  <c r="K9" i="2"/>
  <c r="I9" i="2"/>
  <c r="F9" i="2"/>
  <c r="B9" i="2"/>
  <c r="K4" i="2"/>
  <c r="I4" i="2"/>
  <c r="F4" i="2"/>
  <c r="B4" i="2"/>
  <c r="C4" i="2" s="1"/>
  <c r="K7" i="2"/>
  <c r="I7" i="2"/>
  <c r="F7" i="2"/>
  <c r="B7" i="2"/>
  <c r="D7" i="2" s="1"/>
  <c r="K14" i="2"/>
  <c r="I14" i="2"/>
  <c r="F14" i="2"/>
  <c r="B14" i="2"/>
  <c r="C14" i="2" s="1"/>
  <c r="K13" i="2"/>
  <c r="I13" i="2"/>
  <c r="F13" i="2"/>
  <c r="B13" i="2"/>
  <c r="C13" i="2" s="1"/>
  <c r="I12" i="2"/>
  <c r="F12" i="2"/>
  <c r="B12" i="2"/>
  <c r="C12" i="2" s="1"/>
  <c r="C9" i="2" l="1"/>
  <c r="D6" i="2"/>
  <c r="D5" i="2"/>
  <c r="C3" i="2"/>
  <c r="D20" i="2"/>
  <c r="D10" i="2"/>
  <c r="C8" i="2"/>
  <c r="C18" i="2"/>
  <c r="C17" i="2"/>
  <c r="D18" i="2"/>
  <c r="C15" i="2"/>
  <c r="C5" i="2"/>
  <c r="D11" i="2"/>
  <c r="C20" i="2"/>
  <c r="D3" i="2"/>
  <c r="C16" i="2"/>
  <c r="C6" i="2"/>
  <c r="D14" i="2"/>
  <c r="C19" i="2"/>
  <c r="C10" i="2"/>
  <c r="C7" i="2"/>
  <c r="D8" i="2"/>
  <c r="D9" i="2"/>
  <c r="D13" i="2"/>
  <c r="D2" i="2"/>
  <c r="D4" i="2"/>
  <c r="D12" i="2"/>
</calcChain>
</file>

<file path=xl/connections.xml><?xml version="1.0" encoding="utf-8"?>
<connections xmlns="http://schemas.openxmlformats.org/spreadsheetml/2006/main">
  <connection id="1" keepAlive="1" name="Query - cleaning data used_DENNIS_MUTHURI" description="Connection to the 'cleaning data used_DENNIS_MUTHURI' query in the workbook." type="5" refreshedVersion="6" background="1">
    <dbPr connection="Provider=Microsoft.Mashup.OleDb.1;Data Source=$Workbook$;Location=cleaning data used_DENNIS_MUTHURI;Extended Properties=&quot;&quot;" command="SELECT * FROM [cleaning data used_DENNIS_MUTHURI]"/>
  </connection>
</connections>
</file>

<file path=xl/sharedStrings.xml><?xml version="1.0" encoding="utf-8"?>
<sst xmlns="http://schemas.openxmlformats.org/spreadsheetml/2006/main" count="160" uniqueCount="105">
  <si>
    <t>ADMIN</t>
  </si>
  <si>
    <t>INTERN</t>
  </si>
  <si>
    <t>ENGINEERING</t>
  </si>
  <si>
    <t>TRAINEE</t>
  </si>
  <si>
    <t>SALES</t>
  </si>
  <si>
    <t>SALES EXECUTIVE</t>
  </si>
  <si>
    <t>MANAGER</t>
  </si>
  <si>
    <t>ACCOUNTS</t>
  </si>
  <si>
    <t>COST ACCOUNTANT</t>
  </si>
  <si>
    <t>MKTG</t>
  </si>
  <si>
    <t>DESIGNER</t>
  </si>
  <si>
    <t>SALES TRAINEE</t>
  </si>
  <si>
    <t>SENIOR ADMINISTRATOR</t>
  </si>
  <si>
    <t xml:space="preserve"> 12/15/2011</t>
  </si>
  <si>
    <t>SENIOR TECHNICIAN</t>
  </si>
  <si>
    <t xml:space="preserve"> 04/03/2012</t>
  </si>
  <si>
    <t>R &amp; D</t>
  </si>
  <si>
    <t>VP</t>
  </si>
  <si>
    <t>TEAM LEADER</t>
  </si>
  <si>
    <t xml:space="preserve"> 06/05/2014</t>
  </si>
  <si>
    <t xml:space="preserve"> 12/14/2011</t>
  </si>
  <si>
    <t xml:space="preserve"> 06/29/2001</t>
  </si>
  <si>
    <t>Last_Name</t>
  </si>
  <si>
    <t>Hire Date</t>
  </si>
  <si>
    <t>Salary</t>
  </si>
  <si>
    <t>Department</t>
  </si>
  <si>
    <t>First_Name</t>
  </si>
  <si>
    <t>Job Title</t>
  </si>
  <si>
    <t>Juarez</t>
  </si>
  <si>
    <t>Abraham</t>
  </si>
  <si>
    <t>Baker</t>
  </si>
  <si>
    <t>Balotelli</t>
  </si>
  <si>
    <t>Bishop</t>
  </si>
  <si>
    <t>Boateng</t>
  </si>
  <si>
    <t>Boer</t>
  </si>
  <si>
    <t>Barker</t>
  </si>
  <si>
    <t xml:space="preserve">Bursteyn </t>
  </si>
  <si>
    <t>Bursteyn</t>
  </si>
  <si>
    <t>Busser</t>
  </si>
  <si>
    <t>Casciewicz</t>
  </si>
  <si>
    <t>Cole</t>
  </si>
  <si>
    <t>Cookson</t>
  </si>
  <si>
    <t>Crossley</t>
  </si>
  <si>
    <t>Doe</t>
  </si>
  <si>
    <t>Darnstein</t>
  </si>
  <si>
    <t>Fallengrano</t>
  </si>
  <si>
    <t xml:space="preserve"> Jose </t>
  </si>
  <si>
    <t xml:space="preserve"> Johnny </t>
  </si>
  <si>
    <t xml:space="preserve"> Sarah</t>
  </si>
  <si>
    <t xml:space="preserve"> Billy</t>
  </si>
  <si>
    <t xml:space="preserve"> Tiana </t>
  </si>
  <si>
    <t xml:space="preserve"> Terryy</t>
  </si>
  <si>
    <t xml:space="preserve"> Fred </t>
  </si>
  <si>
    <t xml:space="preserve"> Betty</t>
  </si>
  <si>
    <t xml:space="preserve"> Tom </t>
  </si>
  <si>
    <t xml:space="preserve"> Tammy </t>
  </si>
  <si>
    <t xml:space="preserve"> Bobby</t>
  </si>
  <si>
    <t xml:space="preserve"> Kathy</t>
  </si>
  <si>
    <t xml:space="preserve"> Ashley </t>
  </si>
  <si>
    <t xml:space="preserve"> Charles</t>
  </si>
  <si>
    <t xml:space="preserve"> Erin </t>
  </si>
  <si>
    <t xml:space="preserve"> Jane </t>
  </si>
  <si>
    <t xml:space="preserve"> John  </t>
  </si>
  <si>
    <t xml:space="preserve"> Danny</t>
  </si>
  <si>
    <t xml:space="preserve"> Bill </t>
  </si>
  <si>
    <t>Admin</t>
  </si>
  <si>
    <t>Engineering</t>
  </si>
  <si>
    <t>Sales</t>
  </si>
  <si>
    <t>Accounts</t>
  </si>
  <si>
    <t>Intern</t>
  </si>
  <si>
    <t>Trainee</t>
  </si>
  <si>
    <t>Sales Executive</t>
  </si>
  <si>
    <t>Manager</t>
  </si>
  <si>
    <t>Cost Accountant</t>
  </si>
  <si>
    <t>Designer</t>
  </si>
  <si>
    <t>Sales Trainee</t>
  </si>
  <si>
    <t>Senior Administrator</t>
  </si>
  <si>
    <t>Senior Technician</t>
  </si>
  <si>
    <t>Vp</t>
  </si>
  <si>
    <t>Team Leader</t>
  </si>
  <si>
    <t>Marketing</t>
  </si>
  <si>
    <t>Employee Name</t>
  </si>
  <si>
    <t>Hire Date2</t>
  </si>
  <si>
    <t>Department3</t>
  </si>
  <si>
    <t>Job Title2</t>
  </si>
  <si>
    <t xml:space="preserve">JUAREZ, JOSE </t>
  </si>
  <si>
    <t xml:space="preserve">ABRAHAM, JOHNNY </t>
  </si>
  <si>
    <t>BAKER, SARAH</t>
  </si>
  <si>
    <t>BALOTELLI, BILLY</t>
  </si>
  <si>
    <t xml:space="preserve">BISHOP, TIANA </t>
  </si>
  <si>
    <t>BOATENG, TERRYY</t>
  </si>
  <si>
    <t xml:space="preserve">BOER, FRED </t>
  </si>
  <si>
    <t>BARKER, BETTY</t>
  </si>
  <si>
    <t xml:space="preserve">BURSTEYN , TOM </t>
  </si>
  <si>
    <t xml:space="preserve">BURSTEYN, TAMMY </t>
  </si>
  <si>
    <t>BUSSER, BOBBY</t>
  </si>
  <si>
    <t>CASCIEWICZ, KATHY</t>
  </si>
  <si>
    <t xml:space="preserve">COLE, ASHLEY </t>
  </si>
  <si>
    <t>COOKSON, CHARLES</t>
  </si>
  <si>
    <t xml:space="preserve">CROSSLEY, ERIN </t>
  </si>
  <si>
    <t xml:space="preserve">DOE, JANE </t>
  </si>
  <si>
    <t xml:space="preserve">DOE, JOHN  </t>
  </si>
  <si>
    <t>DARNSTEIN, DANNY</t>
  </si>
  <si>
    <t xml:space="preserve">FALLENGRANO, BILL </t>
  </si>
  <si>
    <t>Employee 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</si>
</sst>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9" formatCode="_(&quot;$&quot;* #,##0_);_(&quot;$&quot;* \(#,##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 applyAlignment="1">
      <alignment horizontal="right"/>
    </xf>
    <xf numFmtId="169" fontId="0" fillId="0" borderId="0" xfId="1" applyNumberFormat="1" applyFont="1"/>
    <xf numFmtId="0" fontId="13" fillId="33" borderId="10" xfId="0" applyFont="1" applyFill="1" applyBorder="1"/>
    <xf numFmtId="0" fontId="13" fillId="33" borderId="11" xfId="0" applyFont="1" applyFill="1" applyBorder="1"/>
    <xf numFmtId="0" fontId="0" fillId="0" borderId="10" xfId="0" applyFont="1" applyBorder="1"/>
    <xf numFmtId="0" fontId="0" fillId="0" borderId="11" xfId="0" applyFont="1" applyBorder="1"/>
    <xf numFmtId="1" fontId="0" fillId="0" borderId="11" xfId="0" applyNumberFormat="1" applyFont="1" applyBorder="1"/>
    <xf numFmtId="14" fontId="0" fillId="0" borderId="11" xfId="0" applyNumberFormat="1" applyFont="1" applyBorder="1"/>
    <xf numFmtId="0" fontId="0" fillId="0" borderId="12" xfId="0" applyFont="1" applyBorder="1"/>
    <xf numFmtId="0" fontId="0" fillId="0" borderId="13" xfId="0" applyFont="1" applyBorder="1"/>
    <xf numFmtId="1" fontId="0" fillId="0" borderId="13" xfId="0" applyNumberFormat="1" applyFont="1" applyBorder="1"/>
    <xf numFmtId="14" fontId="0" fillId="0" borderId="13" xfId="0" applyNumberFormat="1" applyFont="1" applyBorder="1"/>
    <xf numFmtId="169" fontId="0" fillId="0" borderId="11" xfId="1" applyNumberFormat="1" applyFont="1" applyBorder="1"/>
    <xf numFmtId="169" fontId="0" fillId="0" borderId="13" xfId="1" applyNumberFormat="1" applyFont="1" applyBorder="1"/>
    <xf numFmtId="169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7">
    <dxf>
      <font>
        <strike val="0"/>
        <color theme="1"/>
      </font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(&quot;$&quot;* #,##0_);_(&quot;$&quot;* \(#,##0\);_(&quot;$&quot;* &quot;-&quot;??_);_(@_)"/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7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border diagonalUp="0" diagonalDown="0" outline="0">
        <left/>
        <right/>
        <top style="thin">
          <color theme="7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7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theme="7"/>
        </left>
        <right/>
        <top style="thin">
          <color theme="7"/>
        </top>
        <bottom/>
        <vertical/>
        <horizontal/>
      </border>
    </dxf>
    <dxf>
      <border outline="0">
        <right style="thin">
          <color theme="7"/>
        </right>
      </border>
    </dxf>
    <dxf>
      <font>
        <color rgb="FF9C5700"/>
      </font>
      <fill>
        <patternFill>
          <bgColor rgb="FFFFEB9C"/>
        </patternFill>
      </fill>
    </dxf>
    <dxf>
      <numFmt numFmtId="169" formatCode="_(&quot;$&quot;* #,##0_);_(&quot;$&quot;* \(#,##0\);_(&quot;$&quot;* &quot;-&quot;??_);_(@_)"/>
    </dxf>
    <dxf>
      <numFmt numFmtId="19" formatCode="m/d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id="9" name="Table9" displayName="Table9" ref="A1:K20" totalsRowShown="0" headerRowDxfId="4" dataDxfId="5" tableBorderDxfId="13">
  <autoFilter ref="A1:K20"/>
  <sortState ref="A2:K20">
    <sortCondition ref="E2:E20"/>
    <sortCondition descending="1" ref="G2:G20"/>
  </sortState>
  <tableColumns count="11">
    <tableColumn id="1" name="Employee Name"/>
    <tableColumn id="2" name="Employee Name2" dataDxfId="12">
      <calculatedColumnFormula>PROPER(A2)</calculatedColumnFormula>
    </tableColumn>
    <tableColumn id="3" name="First_Name" dataDxfId="11">
      <calculatedColumnFormula>LEFT(Cleaned_Data_DENNIS_MUTHURI!$B2, FIND(",", Cleaned_Data_DENNIS_MUTHURI!$B2)-1)</calculatedColumnFormula>
    </tableColumn>
    <tableColumn id="4" name="Last_Name" dataDxfId="10">
      <calculatedColumnFormula>TRIM(MID(Cleaned_Data_DENNIS_MUTHURI!$B2, FIND(",", Cleaned_Data_DENNIS_MUTHURI!$B2)+1, 100))</calculatedColumnFormula>
    </tableColumn>
    <tableColumn id="5" name="Hire Date" dataDxfId="9"/>
    <tableColumn id="6" name="Hire Date2" dataDxfId="3">
      <calculatedColumnFormula>VALUE(E2)</calculatedColumnFormula>
    </tableColumn>
    <tableColumn id="7" name="Salary" dataDxfId="1" dataCellStyle="Currency"/>
    <tableColumn id="8" name="Department" dataDxfId="2"/>
    <tableColumn id="9" name="Department3" dataDxfId="8">
      <calculatedColumnFormula>SUBSTITUTE(PROPER(H2),"Mktg","Marketing")</calculatedColumnFormula>
    </tableColumn>
    <tableColumn id="10" name="Job Title" dataDxfId="7"/>
    <tableColumn id="11" name="Job Title2" dataDxfId="6">
      <calculatedColumnFormula>PROPER(J2)</calculatedColumn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F20" totalsRowShown="0">
  <autoFilter ref="A1:F20"/>
  <sortState ref="A2:F20">
    <sortCondition ref="C2:C20"/>
    <sortCondition descending="1" ref="D2:D20"/>
  </sortState>
  <tableColumns count="6">
    <tableColumn id="12" name="First_Name"/>
    <tableColumn id="13" name="Last_Name"/>
    <tableColumn id="3" name="Hire Date" dataDxfId="16"/>
    <tableColumn id="4" name="Salary" dataDxfId="15" dataCellStyle="Currency"/>
    <tableColumn id="15" name="Department"/>
    <tableColumn id="17" name="Job 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topLeftCell="C1" workbookViewId="0">
      <selection activeCell="N11" sqref="N11"/>
    </sheetView>
  </sheetViews>
  <sheetFormatPr defaultRowHeight="15" x14ac:dyDescent="0.25"/>
  <cols>
    <col min="1" max="2" width="19.140625" hidden="1" customWidth="1"/>
    <col min="3" max="4" width="19.140625" customWidth="1"/>
    <col min="5" max="5" width="11.42578125" customWidth="1"/>
    <col min="6" max="6" width="15.28515625" hidden="1" customWidth="1"/>
    <col min="7" max="7" width="11.5703125" bestFit="1" customWidth="1"/>
    <col min="8" max="8" width="13.85546875" hidden="1" customWidth="1"/>
    <col min="9" max="9" width="14.85546875" customWidth="1"/>
    <col min="10" max="10" width="23.28515625" hidden="1" customWidth="1"/>
    <col min="11" max="11" width="19.7109375" bestFit="1" customWidth="1"/>
  </cols>
  <sheetData>
    <row r="1" spans="1:14" x14ac:dyDescent="0.25">
      <c r="A1" s="3" t="s">
        <v>81</v>
      </c>
      <c r="B1" s="3" t="s">
        <v>104</v>
      </c>
      <c r="C1" s="4" t="s">
        <v>26</v>
      </c>
      <c r="D1" s="4" t="s">
        <v>22</v>
      </c>
      <c r="E1" s="4" t="s">
        <v>23</v>
      </c>
      <c r="F1" s="4" t="s">
        <v>82</v>
      </c>
      <c r="G1" s="4" t="s">
        <v>24</v>
      </c>
      <c r="H1" s="4" t="s">
        <v>25</v>
      </c>
      <c r="I1" s="4" t="s">
        <v>83</v>
      </c>
      <c r="J1" s="4" t="s">
        <v>27</v>
      </c>
      <c r="K1" s="4" t="s">
        <v>84</v>
      </c>
    </row>
    <row r="2" spans="1:14" x14ac:dyDescent="0.25">
      <c r="A2" t="s">
        <v>93</v>
      </c>
      <c r="B2" s="5" t="str">
        <f>PROPER(A2)</f>
        <v xml:space="preserve">Bursteyn , Tom </v>
      </c>
      <c r="C2" s="6" t="str">
        <f>LEFT(Cleaned_Data_DENNIS_MUTHURI!$B10, FIND(",", Cleaned_Data_DENNIS_MUTHURI!$B10)-1)</f>
        <v>Cole</v>
      </c>
      <c r="D2" s="6" t="str">
        <f>TRIM(MID(Cleaned_Data_DENNIS_MUTHURI!$B10, FIND(",", Cleaned_Data_DENNIS_MUTHURI!$B10)+1, 100))</f>
        <v>Ashley</v>
      </c>
      <c r="E2" s="8">
        <v>36834</v>
      </c>
      <c r="F2" s="7">
        <f>VALUE(E2)</f>
        <v>36834</v>
      </c>
      <c r="G2" s="13">
        <v>21000</v>
      </c>
      <c r="H2" s="6" t="s">
        <v>4</v>
      </c>
      <c r="I2" s="6" t="str">
        <f>SUBSTITUTE(PROPER(H2),"Mktg","Marketing")</f>
        <v>Sales</v>
      </c>
      <c r="J2" s="6" t="s">
        <v>11</v>
      </c>
      <c r="K2" s="6" t="str">
        <f>PROPER(J2)</f>
        <v>Sales Trainee</v>
      </c>
    </row>
    <row r="3" spans="1:14" x14ac:dyDescent="0.25">
      <c r="A3" t="s">
        <v>95</v>
      </c>
      <c r="B3" s="5" t="str">
        <f>PROPER(A3)</f>
        <v>Busser, Bobby</v>
      </c>
      <c r="C3" s="6" t="str">
        <f>LEFT(Cleaned_Data_DENNIS_MUTHURI!$B12, FIND(",", Cleaned_Data_DENNIS_MUTHURI!$B12)-1)</f>
        <v>Juarez</v>
      </c>
      <c r="D3" s="6" t="str">
        <f>TRIM(MID(Cleaned_Data_DENNIS_MUTHURI!$B12, FIND(",", Cleaned_Data_DENNIS_MUTHURI!$B12)+1, 100))</f>
        <v>Jose</v>
      </c>
      <c r="E3" s="8">
        <v>37417</v>
      </c>
      <c r="F3" s="7">
        <f>VALUE(E3)</f>
        <v>37417</v>
      </c>
      <c r="G3" s="13">
        <v>29950</v>
      </c>
      <c r="H3" s="6" t="s">
        <v>7</v>
      </c>
      <c r="I3" s="6" t="str">
        <f>SUBSTITUTE(PROPER(H3),"Mktg","Marketing")</f>
        <v>Accounts</v>
      </c>
      <c r="J3" s="6" t="s">
        <v>12</v>
      </c>
      <c r="K3" s="6" t="str">
        <f>PROPER(J3)</f>
        <v>Senior Administrator</v>
      </c>
    </row>
    <row r="4" spans="1:14" x14ac:dyDescent="0.25">
      <c r="A4" t="s">
        <v>89</v>
      </c>
      <c r="B4" s="5" t="str">
        <f>PROPER(A4)</f>
        <v xml:space="preserve">Bishop, Tiana </v>
      </c>
      <c r="C4" s="6" t="str">
        <f>LEFT(Cleaned_Data_DENNIS_MUTHURI!$B6, FIND(",", Cleaned_Data_DENNIS_MUTHURI!$B6)-1)</f>
        <v>Barker</v>
      </c>
      <c r="D4" s="6" t="str">
        <f>TRIM(MID(Cleaned_Data_DENNIS_MUTHURI!$B6, FIND(",", Cleaned_Data_DENNIS_MUTHURI!$B6)+1, 100))</f>
        <v>Betty</v>
      </c>
      <c r="E4" s="8">
        <v>37959</v>
      </c>
      <c r="F4" s="7">
        <f>VALUE(E4)</f>
        <v>37959</v>
      </c>
      <c r="G4" s="13">
        <v>46500</v>
      </c>
      <c r="H4" s="6" t="s">
        <v>2</v>
      </c>
      <c r="I4" s="6" t="str">
        <f>SUBSTITUTE(PROPER(H4),"Mktg","Marketing")</f>
        <v>Engineering</v>
      </c>
      <c r="J4" s="6" t="s">
        <v>6</v>
      </c>
      <c r="K4" s="6" t="str">
        <f>PROPER(J4)</f>
        <v>Manager</v>
      </c>
    </row>
    <row r="5" spans="1:14" x14ac:dyDescent="0.25">
      <c r="A5" t="s">
        <v>94</v>
      </c>
      <c r="B5" s="5" t="str">
        <f>PROPER(A5)</f>
        <v xml:space="preserve">Bursteyn, Tammy </v>
      </c>
      <c r="C5" s="6" t="str">
        <f>LEFT(Cleaned_Data_DENNIS_MUTHURI!$B11, FIND(",", Cleaned_Data_DENNIS_MUTHURI!$B11)-1)</f>
        <v>Boer</v>
      </c>
      <c r="D5" s="6" t="str">
        <f>TRIM(MID(Cleaned_Data_DENNIS_MUTHURI!$B11, FIND(",", Cleaned_Data_DENNIS_MUTHURI!$B11)+1, 100))</f>
        <v>Fred</v>
      </c>
      <c r="E5" s="8">
        <v>38238</v>
      </c>
      <c r="F5" s="7">
        <f>VALUE(E5)</f>
        <v>38238</v>
      </c>
      <c r="G5" s="13">
        <v>38000</v>
      </c>
      <c r="H5" s="6" t="s">
        <v>4</v>
      </c>
      <c r="I5" s="6" t="str">
        <f>SUBSTITUTE(PROPER(H5),"Mktg","Marketing")</f>
        <v>Sales</v>
      </c>
      <c r="J5" s="6" t="s">
        <v>5</v>
      </c>
      <c r="K5" s="6" t="str">
        <f>PROPER(J5)</f>
        <v>Sales Executive</v>
      </c>
    </row>
    <row r="6" spans="1:14" x14ac:dyDescent="0.25">
      <c r="A6" t="s">
        <v>92</v>
      </c>
      <c r="B6" s="5" t="str">
        <f>PROPER(A6)</f>
        <v>Barker, Betty</v>
      </c>
      <c r="C6" s="6" t="str">
        <f>LEFT(Cleaned_Data_DENNIS_MUTHURI!$B9, FIND(",", Cleaned_Data_DENNIS_MUTHURI!$B9)-1)</f>
        <v>Boateng</v>
      </c>
      <c r="D6" s="6" t="str">
        <f>TRIM(MID(Cleaned_Data_DENNIS_MUTHURI!$B9, FIND(",", Cleaned_Data_DENNIS_MUTHURI!$B9)+1, 100))</f>
        <v>Terryy</v>
      </c>
      <c r="E6" s="8">
        <v>39288</v>
      </c>
      <c r="F6" s="7">
        <f>VALUE(E6)</f>
        <v>39288</v>
      </c>
      <c r="G6" s="13">
        <v>43500</v>
      </c>
      <c r="H6" s="6" t="s">
        <v>4</v>
      </c>
      <c r="I6" s="6" t="str">
        <f>SUBSTITUTE(PROPER(H6),"Mktg","Marketing")</f>
        <v>Sales</v>
      </c>
      <c r="J6" s="6" t="s">
        <v>5</v>
      </c>
      <c r="K6" s="6" t="str">
        <f>PROPER(J6)</f>
        <v>Sales Executive</v>
      </c>
    </row>
    <row r="7" spans="1:14" x14ac:dyDescent="0.25">
      <c r="A7" t="s">
        <v>88</v>
      </c>
      <c r="B7" s="5" t="str">
        <f>PROPER(A7)</f>
        <v>Balotelli, Billy</v>
      </c>
      <c r="C7" s="6" t="str">
        <f>LEFT(Cleaned_Data_DENNIS_MUTHURI!$B5, FIND(",", Cleaned_Data_DENNIS_MUTHURI!$B5)-1)</f>
        <v>Bursteyn</v>
      </c>
      <c r="D7" s="6" t="str">
        <f>TRIM(MID(Cleaned_Data_DENNIS_MUTHURI!$B5, FIND(",", Cleaned_Data_DENNIS_MUTHURI!$B5)+1, 100))</f>
        <v>Tammy</v>
      </c>
      <c r="E7" s="8">
        <v>39401</v>
      </c>
      <c r="F7" s="7">
        <f>VALUE(E7)</f>
        <v>39401</v>
      </c>
      <c r="G7" s="13">
        <v>23900</v>
      </c>
      <c r="H7" s="6" t="s">
        <v>2</v>
      </c>
      <c r="I7" s="6" t="str">
        <f>SUBSTITUTE(PROPER(H7),"Mktg","Marketing")</f>
        <v>Engineering</v>
      </c>
      <c r="J7" s="6" t="s">
        <v>1</v>
      </c>
      <c r="K7" s="6" t="str">
        <f>PROPER(J7)</f>
        <v>Intern</v>
      </c>
      <c r="N7" s="15"/>
    </row>
    <row r="8" spans="1:14" x14ac:dyDescent="0.25">
      <c r="A8" t="s">
        <v>99</v>
      </c>
      <c r="B8" s="5" t="str">
        <f>PROPER(A8)</f>
        <v xml:space="preserve">Crossley, Erin </v>
      </c>
      <c r="C8" s="6" t="str">
        <f>LEFT(Cleaned_Data_DENNIS_MUTHURI!$B16, FIND(",", Cleaned_Data_DENNIS_MUTHURI!$B16)-1)</f>
        <v>Cookson</v>
      </c>
      <c r="D8" s="6" t="str">
        <f>TRIM(MID(Cleaned_Data_DENNIS_MUTHURI!$B16, FIND(",", Cleaned_Data_DENNIS_MUTHURI!$B16)+1, 100))</f>
        <v>Charles</v>
      </c>
      <c r="E8" s="8">
        <v>39926</v>
      </c>
      <c r="F8" s="7">
        <f>VALUE(E8)</f>
        <v>39926</v>
      </c>
      <c r="G8" s="13">
        <v>46000</v>
      </c>
      <c r="H8" s="6" t="s">
        <v>0</v>
      </c>
      <c r="I8" s="6" t="str">
        <f>SUBSTITUTE(PROPER(H8),"Mktg","Marketing")</f>
        <v>Admin</v>
      </c>
      <c r="J8" s="6" t="s">
        <v>18</v>
      </c>
      <c r="K8" s="6" t="str">
        <f>PROPER(J8)</f>
        <v>Team Leader</v>
      </c>
    </row>
    <row r="9" spans="1:14" x14ac:dyDescent="0.25">
      <c r="A9" t="s">
        <v>90</v>
      </c>
      <c r="B9" s="5" t="str">
        <f>PROPER(A9)</f>
        <v>Boateng, Terryy</v>
      </c>
      <c r="C9" s="6" t="str">
        <f>LEFT(Cleaned_Data_DENNIS_MUTHURI!$B7, FIND(",", Cleaned_Data_DENNIS_MUTHURI!$B7)-1)</f>
        <v>Balotelli</v>
      </c>
      <c r="D9" s="6" t="str">
        <f>TRIM(MID(Cleaned_Data_DENNIS_MUTHURI!$B7, FIND(",", Cleaned_Data_DENNIS_MUTHURI!$B7)+1, 100))</f>
        <v>Billy</v>
      </c>
      <c r="E9" s="8">
        <v>40021</v>
      </c>
      <c r="F9" s="7">
        <f>VALUE(E9)</f>
        <v>40021</v>
      </c>
      <c r="G9" s="13">
        <v>50000</v>
      </c>
      <c r="H9" s="6" t="s">
        <v>7</v>
      </c>
      <c r="I9" s="6" t="str">
        <f>SUBSTITUTE(PROPER(H9),"Mktg","Marketing")</f>
        <v>Accounts</v>
      </c>
      <c r="J9" s="6" t="s">
        <v>8</v>
      </c>
      <c r="K9" s="6" t="str">
        <f>PROPER(J9)</f>
        <v>Cost Accountant</v>
      </c>
    </row>
    <row r="10" spans="1:14" x14ac:dyDescent="0.25">
      <c r="A10" t="s">
        <v>97</v>
      </c>
      <c r="B10" s="5" t="str">
        <f>PROPER(A10)</f>
        <v xml:space="preserve">Cole, Ashley </v>
      </c>
      <c r="C10" s="6" t="str">
        <f>LEFT(Cleaned_Data_DENNIS_MUTHURI!$B14, FIND(",", Cleaned_Data_DENNIS_MUTHURI!$B14)-1)</f>
        <v>Baker</v>
      </c>
      <c r="D10" s="6" t="str">
        <f>TRIM(MID(Cleaned_Data_DENNIS_MUTHURI!$B14, FIND(",", Cleaned_Data_DENNIS_MUTHURI!$B14)+1, 100))</f>
        <v>Sarah</v>
      </c>
      <c r="E10" s="8">
        <v>40483</v>
      </c>
      <c r="F10" s="7">
        <f>VALUE(E10)</f>
        <v>40483</v>
      </c>
      <c r="G10" s="13">
        <v>54000</v>
      </c>
      <c r="H10" s="6" t="s">
        <v>4</v>
      </c>
      <c r="I10" s="6" t="str">
        <f>SUBSTITUTE(PROPER(H10),"Mktg","Marketing")</f>
        <v>Sales</v>
      </c>
      <c r="J10" s="6" t="s">
        <v>8</v>
      </c>
      <c r="K10" s="6" t="str">
        <f>PROPER(J10)</f>
        <v>Cost Accountant</v>
      </c>
    </row>
    <row r="11" spans="1:14" x14ac:dyDescent="0.25">
      <c r="A11" t="s">
        <v>91</v>
      </c>
      <c r="B11" s="5" t="str">
        <f>PROPER(A11)</f>
        <v xml:space="preserve">Boer, Fred </v>
      </c>
      <c r="C11" s="6" t="str">
        <f>LEFT(Cleaned_Data_DENNIS_MUTHURI!$B8, FIND(",", Cleaned_Data_DENNIS_MUTHURI!$B8)-1)</f>
        <v>Crossley</v>
      </c>
      <c r="D11" s="6" t="str">
        <f>TRIM(MID(Cleaned_Data_DENNIS_MUTHURI!$B8, FIND(",", Cleaned_Data_DENNIS_MUTHURI!$B8)+1, 100))</f>
        <v>Erin</v>
      </c>
      <c r="E11" s="8">
        <v>40535</v>
      </c>
      <c r="F11" s="7">
        <f>VALUE(E11)</f>
        <v>40535</v>
      </c>
      <c r="G11" s="13">
        <v>46000</v>
      </c>
      <c r="H11" s="6" t="s">
        <v>9</v>
      </c>
      <c r="I11" s="6" t="str">
        <f>SUBSTITUTE(PROPER(H11),"Mktg","Marketing")</f>
        <v>Marketing</v>
      </c>
      <c r="J11" s="6" t="s">
        <v>10</v>
      </c>
      <c r="K11" s="6" t="str">
        <f>PROPER(J11)</f>
        <v>Designer</v>
      </c>
    </row>
    <row r="12" spans="1:14" x14ac:dyDescent="0.25">
      <c r="A12" t="s">
        <v>85</v>
      </c>
      <c r="B12" s="5" t="str">
        <f>PROPER(A12)</f>
        <v xml:space="preserve">Juarez, Jose </v>
      </c>
      <c r="C12" s="6" t="str">
        <f>LEFT(Cleaned_Data_DENNIS_MUTHURI!$B2, FIND(",", Cleaned_Data_DENNIS_MUTHURI!$B2)-1)</f>
        <v xml:space="preserve">Bursteyn </v>
      </c>
      <c r="D12" s="6" t="str">
        <f>TRIM(MID(Cleaned_Data_DENNIS_MUTHURI!$B2, FIND(",", Cleaned_Data_DENNIS_MUTHURI!$B2)+1, 100))</f>
        <v>Tom</v>
      </c>
      <c r="E12" s="8">
        <v>41297</v>
      </c>
      <c r="F12" s="7">
        <f>VALUE(E12)</f>
        <v>41297</v>
      </c>
      <c r="G12" s="13">
        <v>39000</v>
      </c>
      <c r="H12" s="6" t="s">
        <v>0</v>
      </c>
      <c r="I12" s="6" t="str">
        <f>SUBSTITUTE(PROPER(H12),"Mktg","Marketing")</f>
        <v>Admin</v>
      </c>
      <c r="J12" s="6" t="s">
        <v>1</v>
      </c>
      <c r="K12" s="6" t="str">
        <f>PROPER(J12)</f>
        <v>Intern</v>
      </c>
    </row>
    <row r="13" spans="1:14" x14ac:dyDescent="0.25">
      <c r="A13" t="s">
        <v>86</v>
      </c>
      <c r="B13" s="5" t="str">
        <f>PROPER(A13)</f>
        <v xml:space="preserve">Abraham, Johnny </v>
      </c>
      <c r="C13" s="6" t="str">
        <f>LEFT(Cleaned_Data_DENNIS_MUTHURI!$B3, FIND(",", Cleaned_Data_DENNIS_MUTHURI!$B3)-1)</f>
        <v>Busser</v>
      </c>
      <c r="D13" s="6" t="str">
        <f>TRIM(MID(Cleaned_Data_DENNIS_MUTHURI!$B3, FIND(",", Cleaned_Data_DENNIS_MUTHURI!$B3)+1, 100))</f>
        <v>Bobby</v>
      </c>
      <c r="E13" s="8">
        <v>41363</v>
      </c>
      <c r="F13" s="7">
        <f>VALUE(E13)</f>
        <v>41363</v>
      </c>
      <c r="G13" s="13">
        <v>27000</v>
      </c>
      <c r="H13" s="6" t="s">
        <v>2</v>
      </c>
      <c r="I13" s="6" t="str">
        <f>SUBSTITUTE(PROPER(H13),"Mktg","Marketing")</f>
        <v>Engineering</v>
      </c>
      <c r="J13" s="6" t="s">
        <v>3</v>
      </c>
      <c r="K13" s="6" t="str">
        <f>PROPER(J13)</f>
        <v>Trainee</v>
      </c>
    </row>
    <row r="14" spans="1:14" x14ac:dyDescent="0.25">
      <c r="A14" t="s">
        <v>87</v>
      </c>
      <c r="B14" s="5" t="str">
        <f>PROPER(A14)</f>
        <v>Baker, Sarah</v>
      </c>
      <c r="C14" s="6" t="str">
        <f>LEFT(Cleaned_Data_DENNIS_MUTHURI!$B4, FIND(",", Cleaned_Data_DENNIS_MUTHURI!$B4)-1)</f>
        <v>Bishop</v>
      </c>
      <c r="D14" s="6" t="str">
        <f>TRIM(MID(Cleaned_Data_DENNIS_MUTHURI!$B4, FIND(",", Cleaned_Data_DENNIS_MUTHURI!$B4)+1, 100))</f>
        <v>Tiana</v>
      </c>
      <c r="E14" s="8">
        <v>42124</v>
      </c>
      <c r="F14" s="7">
        <f>VALUE(E14)</f>
        <v>42124</v>
      </c>
      <c r="G14" s="13">
        <v>36000</v>
      </c>
      <c r="H14" s="6" t="s">
        <v>4</v>
      </c>
      <c r="I14" s="6" t="str">
        <f>SUBSTITUTE(PROPER(H14),"Mktg","Marketing")</f>
        <v>Sales</v>
      </c>
      <c r="J14" s="6" t="s">
        <v>5</v>
      </c>
      <c r="K14" s="6" t="str">
        <f>PROPER(J14)</f>
        <v>Sales Executive</v>
      </c>
    </row>
    <row r="15" spans="1:14" x14ac:dyDescent="0.25">
      <c r="A15" t="s">
        <v>100</v>
      </c>
      <c r="B15" s="5" t="str">
        <f>PROPER(A15)</f>
        <v xml:space="preserve">Doe, Jane </v>
      </c>
      <c r="C15" s="6" t="str">
        <f>LEFT(Cleaned_Data_DENNIS_MUTHURI!$B17, FIND(",", Cleaned_Data_DENNIS_MUTHURI!$B17)-1)</f>
        <v>Doe</v>
      </c>
      <c r="D15" s="6" t="str">
        <f>TRIM(MID(Cleaned_Data_DENNIS_MUTHURI!$B17, FIND(",", Cleaned_Data_DENNIS_MUTHURI!$B17)+1, 100))</f>
        <v>John</v>
      </c>
      <c r="E15" s="8">
        <v>42210</v>
      </c>
      <c r="F15" s="7">
        <f>VALUE(E15)</f>
        <v>42210</v>
      </c>
      <c r="G15" s="13">
        <v>21500</v>
      </c>
      <c r="H15" s="6" t="s">
        <v>16</v>
      </c>
      <c r="I15" s="6" t="str">
        <f>SUBSTITUTE(PROPER(H15),"Mktg","Marketing")</f>
        <v>R &amp; D</v>
      </c>
      <c r="J15" s="6" t="s">
        <v>3</v>
      </c>
      <c r="K15" s="6" t="str">
        <f>PROPER(J15)</f>
        <v>Trainee</v>
      </c>
    </row>
    <row r="16" spans="1:14" x14ac:dyDescent="0.25">
      <c r="A16" t="s">
        <v>98</v>
      </c>
      <c r="B16" s="5" t="str">
        <f>PROPER(A16)</f>
        <v>Cookson, Charles</v>
      </c>
      <c r="C16" s="6" t="str">
        <f>LEFT(Cleaned_Data_DENNIS_MUTHURI!$B15, FIND(",", Cleaned_Data_DENNIS_MUTHURI!$B15)-1)</f>
        <v>Doe</v>
      </c>
      <c r="D16" s="6" t="str">
        <f>TRIM(MID(Cleaned_Data_DENNIS_MUTHURI!$B15, FIND(",", Cleaned_Data_DENNIS_MUTHURI!$B15)+1, 100))</f>
        <v>Jane</v>
      </c>
      <c r="E16" s="8" t="s">
        <v>15</v>
      </c>
      <c r="F16" s="7">
        <f>VALUE(E16)</f>
        <v>41002</v>
      </c>
      <c r="G16" s="13">
        <v>63200</v>
      </c>
      <c r="H16" s="6" t="s">
        <v>16</v>
      </c>
      <c r="I16" s="6" t="str">
        <f>SUBSTITUTE(PROPER(H16),"Mktg","Marketing")</f>
        <v>R &amp; D</v>
      </c>
      <c r="J16" s="6" t="s">
        <v>17</v>
      </c>
      <c r="K16" s="6" t="str">
        <f>PROPER(J16)</f>
        <v>Vp</v>
      </c>
    </row>
    <row r="17" spans="1:11" x14ac:dyDescent="0.25">
      <c r="A17" t="s">
        <v>101</v>
      </c>
      <c r="B17" s="5" t="str">
        <f>PROPER(A17)</f>
        <v xml:space="preserve">Doe, John  </v>
      </c>
      <c r="C17" s="6" t="str">
        <f>LEFT(Cleaned_Data_DENNIS_MUTHURI!$B18, FIND(",", Cleaned_Data_DENNIS_MUTHURI!$B18)-1)</f>
        <v>Fallengrano</v>
      </c>
      <c r="D17" s="6" t="str">
        <f>TRIM(MID(Cleaned_Data_DENNIS_MUTHURI!$B18, FIND(",", Cleaned_Data_DENNIS_MUTHURI!$B18)+1, 100))</f>
        <v>Bill</v>
      </c>
      <c r="E17" s="8" t="s">
        <v>19</v>
      </c>
      <c r="F17" s="7">
        <f>VALUE(E17)</f>
        <v>41795</v>
      </c>
      <c r="G17" s="13">
        <v>45600</v>
      </c>
      <c r="H17" s="6" t="s">
        <v>2</v>
      </c>
      <c r="I17" s="6" t="str">
        <f>SUBSTITUTE(PROPER(H17),"Mktg","Marketing")</f>
        <v>Engineering</v>
      </c>
      <c r="J17" s="6" t="s">
        <v>1</v>
      </c>
      <c r="K17" s="6" t="str">
        <f>PROPER(J17)</f>
        <v>Intern</v>
      </c>
    </row>
    <row r="18" spans="1:11" x14ac:dyDescent="0.25">
      <c r="A18" t="s">
        <v>103</v>
      </c>
      <c r="B18" s="5" t="str">
        <f>PROPER(A18)</f>
        <v xml:space="preserve">Fallengrano, Bill </v>
      </c>
      <c r="C18" s="6" t="str">
        <f>LEFT(Cleaned_Data_DENNIS_MUTHURI!$B20, FIND(",", Cleaned_Data_DENNIS_MUTHURI!$B20)-1)</f>
        <v>Casciewicz</v>
      </c>
      <c r="D18" s="6" t="str">
        <f>TRIM(MID(Cleaned_Data_DENNIS_MUTHURI!$B20, FIND(",", Cleaned_Data_DENNIS_MUTHURI!$B20)+1, 100))</f>
        <v>Kathy</v>
      </c>
      <c r="E18" s="8" t="s">
        <v>21</v>
      </c>
      <c r="F18" s="7">
        <f>VALUE(E18)</f>
        <v>37071</v>
      </c>
      <c r="G18" s="13">
        <v>56750</v>
      </c>
      <c r="H18" s="6" t="s">
        <v>2</v>
      </c>
      <c r="I18" s="6" t="str">
        <f>SUBSTITUTE(PROPER(H18),"Mktg","Marketing")</f>
        <v>Engineering</v>
      </c>
      <c r="J18" s="6" t="s">
        <v>12</v>
      </c>
      <c r="K18" s="6" t="str">
        <f>PROPER(J18)</f>
        <v>Senior Administrator</v>
      </c>
    </row>
    <row r="19" spans="1:11" x14ac:dyDescent="0.25">
      <c r="A19" t="s">
        <v>102</v>
      </c>
      <c r="B19" s="5" t="str">
        <f>PROPER(A19)</f>
        <v>Darnstein, Danny</v>
      </c>
      <c r="C19" s="6" t="str">
        <f>LEFT(Cleaned_Data_DENNIS_MUTHURI!$B19, FIND(",", Cleaned_Data_DENNIS_MUTHURI!$B19)-1)</f>
        <v>Darnstein</v>
      </c>
      <c r="D19" s="6" t="str">
        <f>TRIM(MID(Cleaned_Data_DENNIS_MUTHURI!$B19, FIND(",", Cleaned_Data_DENNIS_MUTHURI!$B19)+1, 100))</f>
        <v>Danny</v>
      </c>
      <c r="E19" s="8" t="s">
        <v>20</v>
      </c>
      <c r="F19" s="7">
        <f>VALUE(E19)</f>
        <v>40891</v>
      </c>
      <c r="G19" s="13">
        <v>52000</v>
      </c>
      <c r="H19" s="6" t="s">
        <v>2</v>
      </c>
      <c r="I19" s="6" t="str">
        <f>SUBSTITUTE(PROPER(H19),"Mktg","Marketing")</f>
        <v>Engineering</v>
      </c>
      <c r="J19" s="6" t="s">
        <v>8</v>
      </c>
      <c r="K19" s="6" t="str">
        <f>PROPER(J19)</f>
        <v>Cost Accountant</v>
      </c>
    </row>
    <row r="20" spans="1:11" x14ac:dyDescent="0.25">
      <c r="A20" t="s">
        <v>96</v>
      </c>
      <c r="B20" s="9" t="str">
        <f>PROPER(A20)</f>
        <v>Casciewicz, Kathy</v>
      </c>
      <c r="C20" s="10" t="str">
        <f>LEFT(Cleaned_Data_DENNIS_MUTHURI!$B13, FIND(",", Cleaned_Data_DENNIS_MUTHURI!$B13)-1)</f>
        <v>Abraham</v>
      </c>
      <c r="D20" s="10" t="str">
        <f>TRIM(MID(Cleaned_Data_DENNIS_MUTHURI!$B13, FIND(",", Cleaned_Data_DENNIS_MUTHURI!$B13)+1, 100))</f>
        <v>Johnny</v>
      </c>
      <c r="E20" s="12" t="s">
        <v>13</v>
      </c>
      <c r="F20" s="11">
        <f>VALUE(E20)</f>
        <v>40892</v>
      </c>
      <c r="G20" s="14">
        <v>41000</v>
      </c>
      <c r="H20" s="10" t="s">
        <v>4</v>
      </c>
      <c r="I20" s="10" t="str">
        <f>SUBSTITUTE(PROPER(H20),"Mktg","Marketing")</f>
        <v>Sales</v>
      </c>
      <c r="J20" s="10" t="s">
        <v>14</v>
      </c>
      <c r="K20" s="10" t="str">
        <f>PROPER(J20)</f>
        <v>Senior Technician</v>
      </c>
    </row>
  </sheetData>
  <conditionalFormatting sqref="G2:G20">
    <cfRule type="cellIs" dxfId="0" priority="1" operator="greaterThan">
      <formula>42100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20"/>
  <sheetViews>
    <sheetView workbookViewId="0">
      <selection activeCell="F23" sqref="F23"/>
    </sheetView>
  </sheetViews>
  <sheetFormatPr defaultRowHeight="15" x14ac:dyDescent="0.25"/>
  <cols>
    <col min="1" max="1" width="14.140625" customWidth="1"/>
    <col min="2" max="2" width="12.85546875" customWidth="1"/>
    <col min="3" max="3" width="11.42578125" customWidth="1"/>
    <col min="4" max="4" width="11.5703125" style="2" bestFit="1" customWidth="1"/>
    <col min="5" max="5" width="13.85546875" customWidth="1"/>
    <col min="6" max="6" width="19.7109375" bestFit="1" customWidth="1"/>
  </cols>
  <sheetData>
    <row r="1" spans="1:6" x14ac:dyDescent="0.25">
      <c r="A1" t="s">
        <v>26</v>
      </c>
      <c r="B1" t="s">
        <v>22</v>
      </c>
      <c r="C1" t="s">
        <v>23</v>
      </c>
      <c r="D1" s="2" t="s">
        <v>24</v>
      </c>
      <c r="E1" t="s">
        <v>25</v>
      </c>
      <c r="F1" t="s">
        <v>27</v>
      </c>
    </row>
    <row r="2" spans="1:6" x14ac:dyDescent="0.25">
      <c r="A2" t="s">
        <v>36</v>
      </c>
      <c r="B2" t="s">
        <v>54</v>
      </c>
      <c r="C2" s="1">
        <v>36834</v>
      </c>
      <c r="D2" s="2">
        <v>21000</v>
      </c>
      <c r="E2" t="s">
        <v>67</v>
      </c>
      <c r="F2" t="s">
        <v>75</v>
      </c>
    </row>
    <row r="3" spans="1:6" x14ac:dyDescent="0.25">
      <c r="A3" t="s">
        <v>38</v>
      </c>
      <c r="B3" t="s">
        <v>56</v>
      </c>
      <c r="C3" s="1">
        <v>37417</v>
      </c>
      <c r="D3" s="2">
        <v>29950</v>
      </c>
      <c r="E3" t="s">
        <v>68</v>
      </c>
      <c r="F3" t="s">
        <v>76</v>
      </c>
    </row>
    <row r="4" spans="1:6" x14ac:dyDescent="0.25">
      <c r="A4" t="s">
        <v>32</v>
      </c>
      <c r="B4" t="s">
        <v>50</v>
      </c>
      <c r="C4" s="1">
        <v>37959</v>
      </c>
      <c r="D4" s="2">
        <v>46500</v>
      </c>
      <c r="E4" t="s">
        <v>66</v>
      </c>
      <c r="F4" t="s">
        <v>72</v>
      </c>
    </row>
    <row r="5" spans="1:6" x14ac:dyDescent="0.25">
      <c r="A5" t="s">
        <v>37</v>
      </c>
      <c r="B5" t="s">
        <v>55</v>
      </c>
      <c r="C5" s="1">
        <v>38238</v>
      </c>
      <c r="D5" s="2">
        <v>38000</v>
      </c>
      <c r="E5" t="s">
        <v>67</v>
      </c>
      <c r="F5" t="s">
        <v>71</v>
      </c>
    </row>
    <row r="6" spans="1:6" x14ac:dyDescent="0.25">
      <c r="A6" t="s">
        <v>35</v>
      </c>
      <c r="B6" t="s">
        <v>53</v>
      </c>
      <c r="C6" s="1">
        <v>39288</v>
      </c>
      <c r="D6" s="2">
        <v>43500</v>
      </c>
      <c r="E6" t="s">
        <v>67</v>
      </c>
      <c r="F6" t="s">
        <v>71</v>
      </c>
    </row>
    <row r="7" spans="1:6" x14ac:dyDescent="0.25">
      <c r="A7" t="s">
        <v>31</v>
      </c>
      <c r="B7" t="s">
        <v>49</v>
      </c>
      <c r="C7" s="1">
        <v>39401</v>
      </c>
      <c r="D7" s="2">
        <v>23900</v>
      </c>
      <c r="E7" t="s">
        <v>66</v>
      </c>
      <c r="F7" t="s">
        <v>69</v>
      </c>
    </row>
    <row r="8" spans="1:6" x14ac:dyDescent="0.25">
      <c r="A8" t="s">
        <v>42</v>
      </c>
      <c r="B8" t="s">
        <v>60</v>
      </c>
      <c r="C8" s="1">
        <v>39926</v>
      </c>
      <c r="D8" s="2">
        <v>46000</v>
      </c>
      <c r="E8" t="s">
        <v>65</v>
      </c>
      <c r="F8" t="s">
        <v>79</v>
      </c>
    </row>
    <row r="9" spans="1:6" x14ac:dyDescent="0.25">
      <c r="A9" t="s">
        <v>33</v>
      </c>
      <c r="B9" t="s">
        <v>51</v>
      </c>
      <c r="C9" s="1">
        <v>40021</v>
      </c>
      <c r="D9" s="2">
        <v>50000</v>
      </c>
      <c r="E9" t="s">
        <v>68</v>
      </c>
      <c r="F9" t="s">
        <v>73</v>
      </c>
    </row>
    <row r="10" spans="1:6" x14ac:dyDescent="0.25">
      <c r="A10" t="s">
        <v>40</v>
      </c>
      <c r="B10" t="s">
        <v>58</v>
      </c>
      <c r="C10" s="1">
        <v>40483</v>
      </c>
      <c r="D10" s="2">
        <v>54000</v>
      </c>
      <c r="E10" t="s">
        <v>67</v>
      </c>
      <c r="F10" t="s">
        <v>73</v>
      </c>
    </row>
    <row r="11" spans="1:6" x14ac:dyDescent="0.25">
      <c r="A11" t="s">
        <v>34</v>
      </c>
      <c r="B11" t="s">
        <v>52</v>
      </c>
      <c r="C11" s="1">
        <v>40535</v>
      </c>
      <c r="D11" s="2">
        <v>46000</v>
      </c>
      <c r="E11" t="s">
        <v>80</v>
      </c>
      <c r="F11" t="s">
        <v>74</v>
      </c>
    </row>
    <row r="12" spans="1:6" x14ac:dyDescent="0.25">
      <c r="A12" t="s">
        <v>28</v>
      </c>
      <c r="B12" t="s">
        <v>46</v>
      </c>
      <c r="C12" s="1">
        <v>41297</v>
      </c>
      <c r="D12" s="2">
        <v>39000</v>
      </c>
      <c r="E12" t="s">
        <v>65</v>
      </c>
      <c r="F12" t="s">
        <v>69</v>
      </c>
    </row>
    <row r="13" spans="1:6" x14ac:dyDescent="0.25">
      <c r="A13" t="s">
        <v>29</v>
      </c>
      <c r="B13" t="s">
        <v>47</v>
      </c>
      <c r="C13" s="1">
        <v>41363</v>
      </c>
      <c r="D13" s="2">
        <v>27000</v>
      </c>
      <c r="E13" t="s">
        <v>66</v>
      </c>
      <c r="F13" t="s">
        <v>70</v>
      </c>
    </row>
    <row r="14" spans="1:6" x14ac:dyDescent="0.25">
      <c r="A14" t="s">
        <v>30</v>
      </c>
      <c r="B14" t="s">
        <v>48</v>
      </c>
      <c r="C14" s="1">
        <v>42124</v>
      </c>
      <c r="D14" s="2">
        <v>36000</v>
      </c>
      <c r="E14" t="s">
        <v>67</v>
      </c>
      <c r="F14" t="s">
        <v>71</v>
      </c>
    </row>
    <row r="15" spans="1:6" x14ac:dyDescent="0.25">
      <c r="A15" t="s">
        <v>43</v>
      </c>
      <c r="B15" t="s">
        <v>61</v>
      </c>
      <c r="C15" s="1">
        <v>42210</v>
      </c>
      <c r="D15" s="2">
        <v>21500</v>
      </c>
      <c r="E15" t="s">
        <v>16</v>
      </c>
      <c r="F15" t="s">
        <v>70</v>
      </c>
    </row>
    <row r="16" spans="1:6" x14ac:dyDescent="0.25">
      <c r="A16" t="s">
        <v>41</v>
      </c>
      <c r="B16" t="s">
        <v>59</v>
      </c>
      <c r="C16" s="1" t="s">
        <v>15</v>
      </c>
      <c r="D16" s="2">
        <v>63200</v>
      </c>
      <c r="E16" t="s">
        <v>16</v>
      </c>
      <c r="F16" t="s">
        <v>78</v>
      </c>
    </row>
    <row r="17" spans="1:6" x14ac:dyDescent="0.25">
      <c r="A17" t="s">
        <v>43</v>
      </c>
      <c r="B17" t="s">
        <v>62</v>
      </c>
      <c r="C17" s="1" t="s">
        <v>19</v>
      </c>
      <c r="D17" s="2">
        <v>45600</v>
      </c>
      <c r="E17" t="s">
        <v>66</v>
      </c>
      <c r="F17" t="s">
        <v>69</v>
      </c>
    </row>
    <row r="18" spans="1:6" x14ac:dyDescent="0.25">
      <c r="A18" t="s">
        <v>45</v>
      </c>
      <c r="B18" t="s">
        <v>64</v>
      </c>
      <c r="C18" s="1" t="s">
        <v>21</v>
      </c>
      <c r="D18" s="2">
        <v>56750</v>
      </c>
      <c r="E18" t="s">
        <v>66</v>
      </c>
      <c r="F18" t="s">
        <v>76</v>
      </c>
    </row>
    <row r="19" spans="1:6" x14ac:dyDescent="0.25">
      <c r="A19" t="s">
        <v>44</v>
      </c>
      <c r="B19" t="s">
        <v>63</v>
      </c>
      <c r="C19" s="1" t="s">
        <v>20</v>
      </c>
      <c r="D19" s="2">
        <v>52000</v>
      </c>
      <c r="E19" t="s">
        <v>66</v>
      </c>
      <c r="F19" t="s">
        <v>73</v>
      </c>
    </row>
    <row r="20" spans="1:6" x14ac:dyDescent="0.25">
      <c r="A20" t="s">
        <v>39</v>
      </c>
      <c r="B20" t="s">
        <v>57</v>
      </c>
      <c r="C20" s="1" t="s">
        <v>13</v>
      </c>
      <c r="D20" s="2">
        <v>41000</v>
      </c>
      <c r="E20" t="s">
        <v>67</v>
      </c>
      <c r="F20" t="s">
        <v>77</v>
      </c>
    </row>
  </sheetData>
  <conditionalFormatting sqref="D2:D20">
    <cfRule type="cellIs" dxfId="14" priority="1" operator="greaterThan">
      <formula>42100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DB9A45-1684-4875-A1CD-18D231D089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Cleaned_Data_DENNIS_MUTHURI</vt:lpstr>
      <vt:lpstr>Method_two_data_cleaning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MURITHI</dc:creator>
  <cp:lastModifiedBy>DENNIS MURITHI</cp:lastModifiedBy>
  <dcterms:created xsi:type="dcterms:W3CDTF">2026-03-01T18:45:09Z</dcterms:created>
  <dcterms:modified xsi:type="dcterms:W3CDTF">2026-03-01T19:16:05Z</dcterms:modified>
</cp:coreProperties>
</file>